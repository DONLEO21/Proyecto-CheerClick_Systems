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guntas" sheetId="1" r:id="rId4"/>
    <sheet state="visible" name="Respuetas" sheetId="2" r:id="rId5"/>
    <sheet state="visible" name="Pregunta 1" sheetId="3" r:id="rId6"/>
    <sheet state="visible" name="Pregunta 2" sheetId="4" r:id="rId7"/>
    <sheet state="visible" name="Pregunta 3" sheetId="5" r:id="rId8"/>
    <sheet state="visible" name="Pregunta 4" sheetId="6" r:id="rId9"/>
    <sheet state="visible" name="Pregunta 5" sheetId="7" r:id="rId10"/>
    <sheet state="visible" name="Pregunta 6" sheetId="8" r:id="rId11"/>
    <sheet state="visible" name="Pregunta 7" sheetId="9" r:id="rId12"/>
    <sheet state="visible" name="Pregunta 8" sheetId="10" r:id="rId13"/>
    <sheet state="visible" name="Pregunta 9" sheetId="11" r:id="rId14"/>
    <sheet state="visible" name="Pregunta 10" sheetId="12" r:id="rId15"/>
  </sheets>
  <definedNames/>
  <calcPr/>
  <extLst>
    <ext uri="GoogleSheetsCustomDataVersion2">
      <go:sheetsCustomData xmlns:go="http://customooxmlschemas.google.com/" r:id="rId16" roundtripDataChecksum="UJPsre7zrnBjygXCienYHFYVUnmLhCVOK8r2YV5PRkU="/>
    </ext>
  </extLst>
</workbook>
</file>

<file path=xl/sharedStrings.xml><?xml version="1.0" encoding="utf-8"?>
<sst xmlns="http://schemas.openxmlformats.org/spreadsheetml/2006/main" count="151" uniqueCount="89">
  <si>
    <t>ENCUESTA PROYECTO CHEERCLICK SYSTEMS</t>
  </si>
  <si>
    <t>1. ¿Que herramientas utiliza actualmente para organizar sus horarios de entrenamiento?</t>
  </si>
  <si>
    <t>1. Calendario Digital</t>
  </si>
  <si>
    <t>2.Notas o recordatorios por WhatsApp</t>
  </si>
  <si>
    <t>3. No utilzo ninguna herramienta</t>
  </si>
  <si>
    <t>4.Otro</t>
  </si>
  <si>
    <t>2. ¿Ha presentado dificultades al usar estas herramientas para gestionar sus horarios?</t>
  </si>
  <si>
    <t>1. Sí, he tenido dificultades</t>
  </si>
  <si>
    <t>2. No, las manejo sin problemas</t>
  </si>
  <si>
    <t>3. No utilizo herramientas de gestión</t>
  </si>
  <si>
    <t>3. ¿Tiene dificultades para gestionar su inventario personal (uniformes, bolsos, implementos deportivos, calzado, etc.)?</t>
  </si>
  <si>
    <t>1, Si</t>
  </si>
  <si>
    <t>2. No</t>
  </si>
  <si>
    <t>4. ¿Qué problemas ha tenido con el manejo de inventario?</t>
  </si>
  <si>
    <t>1. Incumplimiento en la entrega o reposición</t>
  </si>
  <si>
    <t>2. Desorden en el registrode los elementos</t>
  </si>
  <si>
    <t>3. Errores o pérdida de información</t>
  </si>
  <si>
    <t>4. No llevo un control de inventario</t>
  </si>
  <si>
    <t>5. Qué tan fácil le resulta registrar una petición, queja, reclamo o sugerencia (PQRS) en la escuela Blood Tigers?</t>
  </si>
  <si>
    <t>1, Muy fácil</t>
  </si>
  <si>
    <t>2. Fácil</t>
  </si>
  <si>
    <t>3. Difícil</t>
  </si>
  <si>
    <t>4. Muy difícil</t>
  </si>
  <si>
    <t>6. Recibió respuesta a la PQRS en un tiempo adecuado?</t>
  </si>
  <si>
    <t>1. Si</t>
  </si>
  <si>
    <t>3. No he registrado ninguna PQRS</t>
  </si>
  <si>
    <t>7. ¿Qué tan fácil es para usted registrar o hacer seguimiento al desempeño de los atletas durante los entrenamientos?</t>
  </si>
  <si>
    <t>1. Es fácil</t>
  </si>
  <si>
    <t>2.Es complicado</t>
  </si>
  <si>
    <t>3. No contamos con un sistema claro para registrar el desempeño</t>
  </si>
  <si>
    <t>4. No aplica</t>
  </si>
  <si>
    <t>8. ¿El Club  Blood Tigers le ayuda a identificar fortalezas y debilidades en su rendimiento?</t>
  </si>
  <si>
    <t>3. La manera actual no es la mas adecuada</t>
  </si>
  <si>
    <t>9. ¿Cree que identificar fortalezas y debilidades ayuda a mejorar el rendimiento deportivo?</t>
  </si>
  <si>
    <t>3. No aplica</t>
  </si>
  <si>
    <t>10. ¿Cree que la implementación de un sistema (Web y Móvil) mejoraría las problematicas mencionadas anteriormente?</t>
  </si>
  <si>
    <t>1. Mejoraría mucho</t>
  </si>
  <si>
    <t>2. Mejoraría mucho</t>
  </si>
  <si>
    <t>3. Tal vez mejoraría</t>
  </si>
  <si>
    <t>4. No mejoraría nada</t>
  </si>
  <si>
    <t>Pregunta 1</t>
  </si>
  <si>
    <t>Pregunta 2</t>
  </si>
  <si>
    <t>Pregunta 3</t>
  </si>
  <si>
    <t>Pregunta 4</t>
  </si>
  <si>
    <t>Pregunta 5</t>
  </si>
  <si>
    <t>Pregunta 6</t>
  </si>
  <si>
    <t>Pregunta 7</t>
  </si>
  <si>
    <t xml:space="preserve">Pregunta 8 </t>
  </si>
  <si>
    <t>Pregunta 9</t>
  </si>
  <si>
    <t>Pregunta 10</t>
  </si>
  <si>
    <t>1.¿Que herramientas utiliza actualmente para organizar sus horarios de entrenamiento?</t>
  </si>
  <si>
    <t>Respuesta</t>
  </si>
  <si>
    <t>Código</t>
  </si>
  <si>
    <t>Frecuencia</t>
  </si>
  <si>
    <t>Porcentaje</t>
  </si>
  <si>
    <t>Calendario Digital</t>
  </si>
  <si>
    <t>Notas o recordatorios por WhatsApp</t>
  </si>
  <si>
    <t>No utilzo ninguna herramienta</t>
  </si>
  <si>
    <t>Otro</t>
  </si>
  <si>
    <t>TOTAL</t>
  </si>
  <si>
    <t>Sí, he tenido dificultades</t>
  </si>
  <si>
    <t>No, las manejo sin problemas</t>
  </si>
  <si>
    <t>No utilizo herramientas de gestión</t>
  </si>
  <si>
    <t xml:space="preserve"> Sí</t>
  </si>
  <si>
    <t>No</t>
  </si>
  <si>
    <t>Incumplimiento en la entrega o reposición</t>
  </si>
  <si>
    <t>Desorden en el registrode los elementos</t>
  </si>
  <si>
    <t>Errores o pérdida de información</t>
  </si>
  <si>
    <t>No llevo un control de inventario</t>
  </si>
  <si>
    <t>5. ¿Qué tan fácil le resulta registrar una petición, queja, reclamo o sugerencia (PQRS) en el Club Blood Tigers Cheers?</t>
  </si>
  <si>
    <t>Muy fácil</t>
  </si>
  <si>
    <t>Fácil</t>
  </si>
  <si>
    <t>Difícil</t>
  </si>
  <si>
    <t>Muy difícil</t>
  </si>
  <si>
    <t>6. ¿Recibió respuesta del PQRS en un tiempo adecuado?</t>
  </si>
  <si>
    <t>Si</t>
  </si>
  <si>
    <t>No he registrado ninguna PQRS</t>
  </si>
  <si>
    <t>7. ¿Qué tan fácil es registrar o hacer seguimiento al desempeño atletico en el Club?</t>
  </si>
  <si>
    <t>Es fácil</t>
  </si>
  <si>
    <t>Es complicado</t>
  </si>
  <si>
    <t>No contamos con un sistema claro para registrar el desempeño</t>
  </si>
  <si>
    <t>No aplica</t>
  </si>
  <si>
    <t>8. ¿El Club Blood Tigers Cheer le ayuda a identificar fortalezas y debilidades en su rendimiento?</t>
  </si>
  <si>
    <t>La manera actual no es la mas adecuada</t>
  </si>
  <si>
    <t>10. ¿Cree que identificar fortalezas y debilidades ayuda a mejorar el rendimiento deportivo?</t>
  </si>
  <si>
    <t>Mejoraría mucho</t>
  </si>
  <si>
    <t xml:space="preserve">Mejoraría </t>
  </si>
  <si>
    <t>Tal vez mejoraría</t>
  </si>
  <si>
    <t>No mejoraría nada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</si>
</sst>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u/>
      <sz val="15.0"/>
      <color rgb="FF000000"/>
      <name val="Arial"/>
    </font>
    <font>
      <color theme="1"/>
      <name val="Arial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  <font/>
    <font>
      <b/>
      <color theme="1"/>
      <name val="Arial"/>
    </font>
    <font>
      <sz val="11.0"/>
      <color rgb="FF000000"/>
      <name val="Aptos Narrow"/>
    </font>
    <font>
      <color rgb="FF000000"/>
      <name val="Roboto"/>
    </font>
    <font>
      <color rgb="FF000000"/>
      <name val="Google Sans"/>
    </font>
    <font>
      <color theme="1"/>
      <name val="Roboto"/>
    </font>
    <font>
      <color theme="1"/>
      <name val="Google Sans"/>
    </font>
    <font>
      <b/>
      <color rgb="FF222222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10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/>
    </xf>
    <xf borderId="2" fillId="0" fontId="2" numFmtId="0" xfId="0" applyAlignment="1" applyBorder="1" applyFont="1">
      <alignment horizontal="center"/>
    </xf>
    <xf borderId="3" fillId="0" fontId="6" numFmtId="0" xfId="0" applyBorder="1" applyFont="1"/>
    <xf borderId="1" fillId="0" fontId="2" numFmtId="10" xfId="0" applyBorder="1" applyFont="1" applyNumberFormat="1"/>
    <xf borderId="0" fillId="0" fontId="7" numFmtId="0" xfId="0" applyFont="1"/>
    <xf borderId="1" fillId="0" fontId="2" numFmtId="9" xfId="0" applyBorder="1" applyFont="1" applyNumberFormat="1"/>
    <xf borderId="1" fillId="0" fontId="8" numFmtId="0" xfId="0" applyAlignment="1" applyBorder="1" applyFont="1">
      <alignment vertical="bottom"/>
    </xf>
    <xf borderId="1" fillId="2" fontId="9" numFmtId="0" xfId="0" applyBorder="1" applyFill="1" applyFont="1"/>
    <xf borderId="1" fillId="2" fontId="10" numFmtId="0" xfId="0" applyBorder="1" applyFont="1"/>
    <xf borderId="1" fillId="0" fontId="2" numFmtId="0" xfId="0" applyAlignment="1" applyBorder="1" applyFont="1">
      <alignment vertical="bottom"/>
    </xf>
    <xf borderId="1" fillId="2" fontId="11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9" xfId="0" applyAlignment="1" applyBorder="1" applyFont="1" applyNumberFormat="1">
      <alignment horizontal="right" vertical="bottom"/>
    </xf>
    <xf borderId="1" fillId="2" fontId="1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0" fillId="0" fontId="2" numFmtId="0" xfId="0" applyFont="1"/>
    <xf borderId="1" fillId="0" fontId="4" numFmtId="9" xfId="0" applyAlignment="1" applyBorder="1" applyFont="1" applyNumberFormat="1">
      <alignment horizontal="right" vertical="bottom"/>
    </xf>
    <xf borderId="0" fillId="2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Herramientas para Gestión de Horarios.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CCCCCC"/>
              </a:solidFill>
            </c:spPr>
          </c:dPt>
          <c:dPt>
            <c:idx val="1"/>
            <c:spPr>
              <a:solidFill>
                <a:srgbClr val="3D85C6"/>
              </a:solidFill>
            </c:spPr>
          </c:dPt>
          <c:dPt>
            <c:idx val="2"/>
            <c:spPr>
              <a:solidFill>
                <a:srgbClr val="073763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'Pregunta 1'!$B$4:$B$7</c:f>
            </c:strRef>
          </c:cat>
          <c:val>
            <c:numRef>
              <c:f>'Pregunta 1'!$D$4:$D$7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Porcentaje</a:t>
            </a:r>
          </a:p>
        </c:rich>
      </c:tx>
      <c:layout>
        <c:manualLayout>
          <c:xMode val="edge"/>
          <c:yMode val="edge"/>
          <c:x val="0.025668449197860963"/>
          <c:y val="0.05347222222222223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'Pregunta 2'!$E$2:$E$3</c:f>
            </c:strRef>
          </c:tx>
          <c:dPt>
            <c:idx val="0"/>
            <c:spPr>
              <a:solidFill>
                <a:srgbClr val="B7B7B7"/>
              </a:solidFill>
            </c:spPr>
          </c:dPt>
          <c:dPt>
            <c:idx val="1"/>
            <c:spPr>
              <a:solidFill>
                <a:srgbClr val="CCCCCC"/>
              </a:solidFill>
            </c:spPr>
          </c:dPt>
          <c:dPt>
            <c:idx val="2"/>
            <c:spPr>
              <a:solidFill>
                <a:srgbClr val="3D85C6"/>
              </a:solidFill>
            </c:spPr>
          </c:dPt>
          <c:dPt>
            <c:idx val="3"/>
            <c:spPr>
              <a:solidFill>
                <a:srgbClr val="07376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'Pregunta 2'!$B$4:$B$7</c:f>
            </c:strRef>
          </c:cat>
          <c:val>
            <c:numRef>
              <c:f>'Pregunta 2'!$E$4:$E$7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Frecuencia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'Pregunta 3'!$D$4</c:f>
            </c:strRef>
          </c:tx>
          <c:dPt>
            <c:idx val="0"/>
            <c:spPr>
              <a:solidFill>
                <a:srgbClr val="073763"/>
              </a:solidFill>
            </c:spPr>
          </c:dPt>
          <c:dPt>
            <c:idx val="1"/>
            <c:spPr>
              <a:solidFill>
                <a:srgbClr val="3D85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'Pregunta 3'!$B$5:$B$6</c:f>
            </c:strRef>
          </c:cat>
          <c:val>
            <c:numRef>
              <c:f>'Pregunta 3'!$D$5:$D$6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Problemas Manejo Inventario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CCCCCC"/>
              </a:solidFill>
            </c:spPr>
          </c:dPt>
          <c:dPt>
            <c:idx val="1"/>
            <c:spPr>
              <a:solidFill>
                <a:srgbClr val="073763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D85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'Pregunta 4'!$F$15</c:f>
            </c:strRef>
          </c:cat>
          <c:val>
            <c:numRef>
              <c:f>'Pregunta 4'!$B$5:$B$8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'Pregunta 5'!$D$4</c:f>
            </c:strRef>
          </c:tx>
          <c:dPt>
            <c:idx val="0"/>
            <c:spPr>
              <a:solidFill>
                <a:srgbClr val="B4A7D6"/>
              </a:solidFill>
            </c:spPr>
          </c:dPt>
          <c:dPt>
            <c:idx val="1"/>
            <c:spPr>
              <a:solidFill>
                <a:srgbClr val="C27BA0"/>
              </a:solidFill>
            </c:spPr>
          </c:dPt>
          <c:dPt>
            <c:idx val="2"/>
            <c:spPr>
              <a:solidFill>
                <a:srgbClr val="9FC5E8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'Pregunta 5'!$B$5:$B$8</c:f>
            </c:strRef>
          </c:cat>
          <c:val>
            <c:numRef>
              <c:f>'Pregunta 5'!$D$5:$D$8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Frecuencia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'Pregunta 6'!$D$4</c:f>
            </c:strRef>
          </c:tx>
          <c:dPt>
            <c:idx val="0"/>
            <c:spPr>
              <a:solidFill>
                <a:srgbClr val="3D85C6"/>
              </a:solidFill>
            </c:spPr>
          </c:dPt>
          <c:dPt>
            <c:idx val="1"/>
            <c:spPr>
              <a:solidFill>
                <a:srgbClr val="CCCCCC"/>
              </a:solidFill>
            </c:spPr>
          </c:dPt>
          <c:dPt>
            <c:idx val="2"/>
            <c:spPr>
              <a:solidFill>
                <a:srgbClr val="07376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'Pregunta 6'!$B$5:$B$7</c:f>
            </c:strRef>
          </c:cat>
          <c:val>
            <c:numRef>
              <c:f>'Pregunta 6'!$D$5:$D$7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Registro de Seguimiento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'Pregunta 7'!$E$2:$E$3</c:f>
            </c:strRef>
          </c:tx>
          <c:dPt>
            <c:idx val="0"/>
            <c:spPr>
              <a:solidFill>
                <a:srgbClr val="3D85C6"/>
              </a:solidFill>
            </c:spPr>
          </c:dPt>
          <c:dPt>
            <c:idx val="1"/>
            <c:spPr>
              <a:solidFill>
                <a:srgbClr val="3D85C6"/>
              </a:solidFill>
            </c:spPr>
          </c:dPt>
          <c:dPt>
            <c:idx val="2"/>
            <c:spPr>
              <a:solidFill>
                <a:srgbClr val="CCCCCC"/>
              </a:solidFill>
            </c:spPr>
          </c:dPt>
          <c:dPt>
            <c:idx val="3"/>
            <c:spPr>
              <a:solidFill>
                <a:srgbClr val="07376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'Pregunta 7'!$B$4:$B$8</c:f>
            </c:strRef>
          </c:cat>
          <c:val>
            <c:numRef>
              <c:f>'Pregunta 7'!$E$4:$E$8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Fortalezas y Debilidades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'Pregunta 8'!$D$4</c:f>
            </c:strRef>
          </c:tx>
          <c:dPt>
            <c:idx val="0"/>
            <c:spPr>
              <a:solidFill>
                <a:srgbClr val="073763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3D85C6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'Pregunta 8'!$B$5:$B$8</c:f>
            </c:strRef>
          </c:cat>
          <c:val>
            <c:numRef>
              <c:f>'Pregunta 8'!$D$5:$D$8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'Pregunta 9'!$B$10</c:f>
            </c:strRef>
          </c:cat>
          <c:val>
            <c:numRef>
              <c:f>'Pregunta 9'!$B$4:$B$6</c:f>
              <c:numCache/>
            </c:numRef>
          </c:val>
        </c:ser>
        <c:ser>
          <c:idx val="1"/>
          <c:order val="1"/>
          <c:cat>
            <c:strRef>
              <c:f>'Pregunta 9'!$B$10</c:f>
            </c:strRef>
          </c:cat>
          <c:val>
            <c:numRef>
              <c:f>'Pregunta 9'!$D$4:$D$6</c:f>
              <c:numCache/>
            </c:numRef>
          </c:val>
        </c:ser>
        <c:axId val="746779851"/>
        <c:axId val="1056240665"/>
      </c:barChart>
      <c:catAx>
        <c:axId val="746779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56240665"/>
      </c:catAx>
      <c:valAx>
        <c:axId val="1056240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4677985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Frecuencia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'Pregunta 10'!$D$5:$D$6</c:f>
            </c:strRef>
          </c:tx>
          <c:dPt>
            <c:idx val="0"/>
            <c:spPr>
              <a:solidFill>
                <a:srgbClr val="3D85C6"/>
              </a:solidFill>
            </c:spPr>
          </c:dPt>
          <c:dPt>
            <c:idx val="1"/>
            <c:spPr>
              <a:solidFill>
                <a:srgbClr val="073763"/>
              </a:solidFill>
            </c:spPr>
          </c:dPt>
          <c:dPt>
            <c:idx val="2"/>
            <c:spPr>
              <a:solidFill>
                <a:srgbClr val="CCCCCC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'Pregunta 10'!$B$7:$B$11</c:f>
            </c:strRef>
          </c:cat>
          <c:val>
            <c:numRef>
              <c:f>'Pregunta 10'!$D$7:$D$11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8</xdr:row>
      <xdr:rowOff>180975</xdr:rowOff>
    </xdr:from>
    <xdr:ext cx="5048250" cy="2905125"/>
    <xdr:graphicFrame>
      <xdr:nvGraphicFramePr>
        <xdr:cNvPr id="62506531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9</xdr:row>
      <xdr:rowOff>180975</xdr:rowOff>
    </xdr:from>
    <xdr:ext cx="5343525" cy="2781300"/>
    <xdr:graphicFrame>
      <xdr:nvGraphicFramePr>
        <xdr:cNvPr id="1715252885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8</xdr:row>
      <xdr:rowOff>180975</xdr:rowOff>
    </xdr:from>
    <xdr:ext cx="5057775" cy="3133725"/>
    <xdr:graphicFrame>
      <xdr:nvGraphicFramePr>
        <xdr:cNvPr id="387446738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10</xdr:row>
      <xdr:rowOff>38100</xdr:rowOff>
    </xdr:from>
    <xdr:ext cx="5705475" cy="3533775"/>
    <xdr:graphicFrame>
      <xdr:nvGraphicFramePr>
        <xdr:cNvPr id="1459663168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10</xdr:row>
      <xdr:rowOff>95250</xdr:rowOff>
    </xdr:from>
    <xdr:ext cx="4419600" cy="2733675"/>
    <xdr:graphicFrame>
      <xdr:nvGraphicFramePr>
        <xdr:cNvPr id="1648944381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9</xdr:row>
      <xdr:rowOff>180975</xdr:rowOff>
    </xdr:from>
    <xdr:ext cx="5295900" cy="2552700"/>
    <xdr:graphicFrame>
      <xdr:nvGraphicFramePr>
        <xdr:cNvPr id="218947401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10</xdr:row>
      <xdr:rowOff>180975</xdr:rowOff>
    </xdr:from>
    <xdr:ext cx="6096000" cy="2971800"/>
    <xdr:graphicFrame>
      <xdr:nvGraphicFramePr>
        <xdr:cNvPr id="1578944822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11</xdr:row>
      <xdr:rowOff>19050</xdr:rowOff>
    </xdr:from>
    <xdr:ext cx="5295900" cy="2905125"/>
    <xdr:graphicFrame>
      <xdr:nvGraphicFramePr>
        <xdr:cNvPr id="62269762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9</xdr:row>
      <xdr:rowOff>9525</xdr:rowOff>
    </xdr:from>
    <xdr:ext cx="4714875" cy="2790825"/>
    <xdr:graphicFrame>
      <xdr:nvGraphicFramePr>
        <xdr:cNvPr id="1448413965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14</xdr:row>
      <xdr:rowOff>0</xdr:rowOff>
    </xdr:from>
    <xdr:ext cx="5372100" cy="3181350"/>
    <xdr:graphicFrame>
      <xdr:nvGraphicFramePr>
        <xdr:cNvPr id="1369690959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ff9okwoSyj7qhtKCDs1RiHFwWOBxgtIMyzsoDEdtYs_mOgUA/viewform?usp=mail_form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0.75"/>
    <col customWidth="1" min="3" max="3" width="12.63"/>
    <col customWidth="1" min="4" max="4" width="49.25"/>
    <col customWidth="1" min="5" max="6" width="12.63"/>
  </cols>
  <sheetData>
    <row r="1" ht="15.75" customHeight="1"/>
    <row r="2" ht="15.75" customHeight="1">
      <c r="B2" s="1" t="s">
        <v>0</v>
      </c>
    </row>
    <row r="3" ht="15.75" customHeight="1"/>
    <row r="4" ht="15.75" customHeight="1"/>
    <row r="5" ht="15.75" customHeight="1">
      <c r="B5" s="2" t="s">
        <v>1</v>
      </c>
      <c r="D5" s="2" t="s">
        <v>2</v>
      </c>
    </row>
    <row r="6" ht="15.75" customHeight="1">
      <c r="D6" s="2" t="s">
        <v>3</v>
      </c>
    </row>
    <row r="7" ht="15.75" customHeight="1">
      <c r="D7" s="2" t="s">
        <v>4</v>
      </c>
    </row>
    <row r="8" ht="15.75" customHeight="1">
      <c r="D8" s="2" t="s">
        <v>5</v>
      </c>
    </row>
    <row r="9" ht="15.75" customHeight="1"/>
    <row r="10" ht="15.75" customHeight="1"/>
    <row r="11" ht="15.75" customHeight="1">
      <c r="B11" s="2" t="s">
        <v>6</v>
      </c>
      <c r="D11" s="2" t="s">
        <v>7</v>
      </c>
    </row>
    <row r="12" ht="15.75" customHeight="1">
      <c r="D12" s="2" t="s">
        <v>8</v>
      </c>
    </row>
    <row r="13" ht="15.75" customHeight="1">
      <c r="D13" s="2" t="s">
        <v>9</v>
      </c>
    </row>
    <row r="14" ht="17.25" customHeight="1"/>
    <row r="15" ht="15.75" customHeight="1"/>
    <row r="16" ht="15.75" customHeight="1">
      <c r="B16" s="2" t="s">
        <v>10</v>
      </c>
      <c r="D16" s="2" t="s">
        <v>11</v>
      </c>
    </row>
    <row r="17" ht="15.75" customHeight="1">
      <c r="D17" s="2" t="s">
        <v>12</v>
      </c>
    </row>
    <row r="18" ht="15.75" customHeight="1"/>
    <row r="19" ht="15.75" customHeight="1"/>
    <row r="20" ht="15.75" customHeight="1">
      <c r="B20" s="2" t="s">
        <v>13</v>
      </c>
      <c r="D20" s="2" t="s">
        <v>14</v>
      </c>
    </row>
    <row r="21" ht="15.75" customHeight="1">
      <c r="D21" s="2" t="s">
        <v>15</v>
      </c>
    </row>
    <row r="22" ht="15.75" customHeight="1">
      <c r="D22" s="2" t="s">
        <v>16</v>
      </c>
    </row>
    <row r="23" ht="15.75" customHeight="1">
      <c r="D23" s="2" t="s">
        <v>17</v>
      </c>
    </row>
    <row r="24" ht="15.75" customHeight="1"/>
    <row r="25" ht="15.75" customHeight="1"/>
    <row r="26" ht="15.75" customHeight="1">
      <c r="B26" s="2" t="s">
        <v>18</v>
      </c>
      <c r="D26" s="2" t="s">
        <v>19</v>
      </c>
    </row>
    <row r="27" ht="15.75" customHeight="1">
      <c r="D27" s="2" t="s">
        <v>20</v>
      </c>
    </row>
    <row r="28" ht="15.75" customHeight="1">
      <c r="D28" s="2" t="s">
        <v>21</v>
      </c>
    </row>
    <row r="29" ht="15.75" customHeight="1">
      <c r="D29" s="2" t="s">
        <v>22</v>
      </c>
    </row>
    <row r="30" ht="15.75" customHeight="1"/>
    <row r="31" ht="15.75" customHeight="1"/>
    <row r="32" ht="15.75" customHeight="1">
      <c r="B32" s="2" t="s">
        <v>23</v>
      </c>
      <c r="D32" s="2" t="s">
        <v>24</v>
      </c>
    </row>
    <row r="33" ht="15.75" customHeight="1">
      <c r="D33" s="2" t="s">
        <v>12</v>
      </c>
    </row>
    <row r="34" ht="15.75" customHeight="1">
      <c r="D34" s="2" t="s">
        <v>25</v>
      </c>
    </row>
    <row r="35" ht="15.75" customHeight="1"/>
    <row r="36" ht="15.75" customHeight="1"/>
    <row r="37" ht="15.75" customHeight="1">
      <c r="B37" s="2" t="s">
        <v>26</v>
      </c>
      <c r="D37" s="2" t="s">
        <v>27</v>
      </c>
    </row>
    <row r="38" ht="15.75" customHeight="1">
      <c r="D38" s="2" t="s">
        <v>28</v>
      </c>
    </row>
    <row r="39" ht="15.75" customHeight="1">
      <c r="D39" s="2" t="s">
        <v>29</v>
      </c>
    </row>
    <row r="40" ht="15.75" customHeight="1">
      <c r="D40" s="2" t="s">
        <v>30</v>
      </c>
    </row>
    <row r="41" ht="15.75" customHeight="1"/>
    <row r="42" ht="15.75" customHeight="1"/>
    <row r="43" ht="15.75" customHeight="1">
      <c r="B43" s="2" t="s">
        <v>31</v>
      </c>
      <c r="D43" s="2" t="s">
        <v>24</v>
      </c>
    </row>
    <row r="44" ht="15.75" customHeight="1">
      <c r="D44" s="2" t="s">
        <v>12</v>
      </c>
    </row>
    <row r="45" ht="15.75" customHeight="1">
      <c r="D45" s="2" t="s">
        <v>32</v>
      </c>
    </row>
    <row r="46" ht="15.75" customHeight="1">
      <c r="D46" s="2" t="s">
        <v>30</v>
      </c>
    </row>
    <row r="47" ht="15.75" customHeight="1"/>
    <row r="48" ht="15.75" customHeight="1"/>
    <row r="49" ht="15.75" customHeight="1">
      <c r="B49" s="2" t="s">
        <v>33</v>
      </c>
      <c r="D49" s="2" t="s">
        <v>24</v>
      </c>
    </row>
    <row r="50" ht="15.75" customHeight="1">
      <c r="D50" s="2" t="s">
        <v>12</v>
      </c>
    </row>
    <row r="51" ht="15.75" customHeight="1">
      <c r="D51" s="2" t="s">
        <v>34</v>
      </c>
    </row>
    <row r="52" ht="15.75" customHeight="1"/>
    <row r="53" ht="15.75" customHeight="1"/>
    <row r="54" ht="15.75" customHeight="1">
      <c r="B54" s="2" t="s">
        <v>35</v>
      </c>
      <c r="D54" s="2" t="s">
        <v>36</v>
      </c>
    </row>
    <row r="55" ht="15.75" customHeight="1">
      <c r="D55" s="2" t="s">
        <v>37</v>
      </c>
    </row>
    <row r="56" ht="15.75" customHeight="1">
      <c r="D56" s="2" t="s">
        <v>38</v>
      </c>
    </row>
    <row r="57" ht="15.75" customHeight="1">
      <c r="D57" s="2" t="s">
        <v>39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</row>
    <row r="4" ht="15.75" customHeight="1">
      <c r="B4" s="2">
        <v>1.0</v>
      </c>
      <c r="C4" s="2">
        <v>1.0</v>
      </c>
      <c r="D4" s="2">
        <v>1.0</v>
      </c>
      <c r="E4" s="2">
        <v>1.0</v>
      </c>
      <c r="F4" s="2">
        <v>1.0</v>
      </c>
      <c r="G4" s="2">
        <v>1.0</v>
      </c>
      <c r="H4" s="2">
        <v>1.0</v>
      </c>
      <c r="I4" s="2">
        <v>1.0</v>
      </c>
      <c r="J4" s="2">
        <v>1.0</v>
      </c>
      <c r="K4" s="2">
        <v>1.0</v>
      </c>
    </row>
    <row r="5" ht="15.75" customHeight="1">
      <c r="B5" s="2">
        <v>2.0</v>
      </c>
      <c r="C5" s="2">
        <v>1.0</v>
      </c>
      <c r="D5" s="2">
        <v>1.0</v>
      </c>
      <c r="E5" s="2">
        <v>1.0</v>
      </c>
      <c r="F5" s="2">
        <v>1.0</v>
      </c>
      <c r="G5" s="2">
        <v>1.0</v>
      </c>
      <c r="H5" s="2">
        <v>1.0</v>
      </c>
      <c r="I5" s="2">
        <v>1.0</v>
      </c>
      <c r="J5" s="2">
        <v>1.0</v>
      </c>
      <c r="K5" s="2">
        <v>1.0</v>
      </c>
    </row>
    <row r="6" ht="15.75" customHeight="1">
      <c r="B6" s="2">
        <v>2.0</v>
      </c>
      <c r="C6" s="2">
        <v>1.0</v>
      </c>
      <c r="D6" s="2">
        <v>1.0</v>
      </c>
      <c r="E6" s="2">
        <v>1.0</v>
      </c>
      <c r="F6" s="2">
        <v>2.0</v>
      </c>
      <c r="G6" s="2">
        <v>1.0</v>
      </c>
      <c r="H6" s="2">
        <v>1.0</v>
      </c>
      <c r="I6" s="2">
        <v>1.0</v>
      </c>
      <c r="J6" s="2">
        <v>1.0</v>
      </c>
      <c r="K6" s="2">
        <v>1.0</v>
      </c>
    </row>
    <row r="7" ht="15.75" customHeight="1">
      <c r="B7" s="2">
        <v>2.0</v>
      </c>
      <c r="C7" s="2">
        <v>2.0</v>
      </c>
      <c r="D7" s="2">
        <v>1.0</v>
      </c>
      <c r="E7" s="2">
        <v>1.0</v>
      </c>
      <c r="F7" s="2">
        <v>2.0</v>
      </c>
      <c r="G7" s="2">
        <v>1.0</v>
      </c>
      <c r="H7" s="2">
        <v>1.0</v>
      </c>
      <c r="I7" s="2">
        <v>1.0</v>
      </c>
      <c r="J7" s="2">
        <v>1.0</v>
      </c>
      <c r="K7" s="2">
        <v>1.0</v>
      </c>
    </row>
    <row r="8" ht="15.75" customHeight="1">
      <c r="B8" s="2">
        <v>2.0</v>
      </c>
      <c r="C8" s="2">
        <v>2.0</v>
      </c>
      <c r="D8" s="2">
        <v>1.0</v>
      </c>
      <c r="E8" s="2">
        <v>2.0</v>
      </c>
      <c r="F8" s="2">
        <v>2.0</v>
      </c>
      <c r="G8" s="2">
        <v>1.0</v>
      </c>
      <c r="H8" s="2">
        <v>1.0</v>
      </c>
      <c r="I8" s="2">
        <v>1.0</v>
      </c>
      <c r="J8" s="2">
        <v>1.0</v>
      </c>
      <c r="K8" s="2">
        <v>1.0</v>
      </c>
    </row>
    <row r="9" ht="15.75" customHeight="1">
      <c r="B9" s="2">
        <v>2.0</v>
      </c>
      <c r="C9" s="2">
        <v>2.0</v>
      </c>
      <c r="D9" s="2">
        <v>1.0</v>
      </c>
      <c r="E9" s="2">
        <v>2.0</v>
      </c>
      <c r="F9" s="2">
        <v>2.0</v>
      </c>
      <c r="G9" s="2">
        <v>1.0</v>
      </c>
      <c r="H9" s="2">
        <v>2.0</v>
      </c>
      <c r="I9" s="2">
        <v>1.0</v>
      </c>
      <c r="J9" s="2">
        <v>1.0</v>
      </c>
      <c r="K9" s="2">
        <v>1.0</v>
      </c>
    </row>
    <row r="10" ht="15.75" customHeight="1">
      <c r="B10" s="2">
        <v>2.0</v>
      </c>
      <c r="C10" s="2">
        <v>2.0</v>
      </c>
      <c r="D10" s="2">
        <v>1.0</v>
      </c>
      <c r="E10" s="2">
        <v>2.0</v>
      </c>
      <c r="F10" s="2">
        <v>2.0</v>
      </c>
      <c r="G10" s="2">
        <v>2.0</v>
      </c>
      <c r="H10" s="2">
        <v>2.0</v>
      </c>
      <c r="I10" s="2">
        <v>1.0</v>
      </c>
      <c r="J10" s="2">
        <v>1.0</v>
      </c>
      <c r="K10" s="2">
        <v>1.0</v>
      </c>
    </row>
    <row r="11" ht="15.75" customHeight="1">
      <c r="B11" s="2">
        <v>2.0</v>
      </c>
      <c r="C11" s="2">
        <v>2.0</v>
      </c>
      <c r="D11" s="2">
        <v>1.0</v>
      </c>
      <c r="E11" s="2">
        <v>2.0</v>
      </c>
      <c r="F11" s="2">
        <v>3.0</v>
      </c>
      <c r="G11" s="2">
        <v>3.0</v>
      </c>
      <c r="H11" s="2">
        <v>3.0</v>
      </c>
      <c r="I11" s="2">
        <v>3.0</v>
      </c>
      <c r="J11" s="2">
        <v>1.0</v>
      </c>
      <c r="K11" s="2">
        <v>2.0</v>
      </c>
    </row>
    <row r="12" ht="15.75" customHeight="1">
      <c r="B12" s="2">
        <v>2.0</v>
      </c>
      <c r="C12" s="2">
        <v>2.0</v>
      </c>
      <c r="D12" s="2">
        <v>1.0</v>
      </c>
      <c r="E12" s="2">
        <v>2.0</v>
      </c>
      <c r="F12" s="2">
        <v>3.0</v>
      </c>
      <c r="G12" s="2">
        <v>3.0</v>
      </c>
      <c r="H12" s="2">
        <v>3.0</v>
      </c>
      <c r="I12" s="2">
        <v>3.0</v>
      </c>
      <c r="J12" s="2">
        <v>1.0</v>
      </c>
      <c r="K12" s="2">
        <v>2.0</v>
      </c>
    </row>
    <row r="13" ht="15.75" customHeight="1">
      <c r="B13" s="2">
        <v>2.0</v>
      </c>
      <c r="C13" s="2">
        <v>2.0</v>
      </c>
      <c r="D13" s="2">
        <v>1.0</v>
      </c>
      <c r="E13" s="2">
        <v>2.0</v>
      </c>
      <c r="F13" s="2">
        <v>3.0</v>
      </c>
      <c r="G13" s="2">
        <v>3.0</v>
      </c>
      <c r="H13" s="2">
        <v>3.0</v>
      </c>
      <c r="I13" s="2">
        <v>3.0</v>
      </c>
      <c r="J13" s="2">
        <v>1.0</v>
      </c>
      <c r="K13" s="2">
        <v>2.0</v>
      </c>
    </row>
    <row r="14" ht="15.75" customHeight="1">
      <c r="B14" s="2">
        <v>3.0</v>
      </c>
      <c r="C14" s="2">
        <v>3.0</v>
      </c>
      <c r="D14" s="2">
        <v>1.0</v>
      </c>
      <c r="E14" s="2">
        <v>2.0</v>
      </c>
      <c r="F14" s="2">
        <v>3.0</v>
      </c>
      <c r="G14" s="2">
        <v>3.0</v>
      </c>
      <c r="H14" s="2">
        <v>3.0</v>
      </c>
      <c r="I14" s="2">
        <v>3.0</v>
      </c>
      <c r="J14" s="2">
        <v>1.0</v>
      </c>
      <c r="K14" s="2">
        <v>2.0</v>
      </c>
    </row>
    <row r="15" ht="15.75" customHeight="1">
      <c r="B15" s="2">
        <v>3.0</v>
      </c>
      <c r="C15" s="2">
        <v>3.0</v>
      </c>
      <c r="D15" s="2">
        <v>1.0</v>
      </c>
      <c r="E15" s="2">
        <v>2.0</v>
      </c>
      <c r="F15" s="2">
        <v>3.0</v>
      </c>
      <c r="G15" s="2">
        <v>3.0</v>
      </c>
      <c r="H15" s="2">
        <v>3.0</v>
      </c>
      <c r="I15" s="2">
        <v>3.0</v>
      </c>
      <c r="J15" s="2">
        <v>1.0</v>
      </c>
      <c r="K15" s="2">
        <v>2.0</v>
      </c>
    </row>
    <row r="16" ht="15.75" customHeight="1">
      <c r="B16" s="2">
        <v>3.0</v>
      </c>
      <c r="C16" s="2">
        <v>3.0</v>
      </c>
      <c r="D16" s="2">
        <v>1.0</v>
      </c>
      <c r="E16" s="2">
        <v>4.0</v>
      </c>
      <c r="F16" s="2">
        <v>3.0</v>
      </c>
      <c r="G16" s="2">
        <v>3.0</v>
      </c>
      <c r="H16" s="2">
        <v>3.0</v>
      </c>
      <c r="I16" s="2">
        <v>3.0</v>
      </c>
      <c r="J16" s="2">
        <v>1.0</v>
      </c>
      <c r="K16" s="2">
        <v>2.0</v>
      </c>
    </row>
    <row r="17" ht="15.75" customHeight="1">
      <c r="B17" s="2">
        <v>3.0</v>
      </c>
      <c r="C17" s="2">
        <v>3.0</v>
      </c>
      <c r="D17" s="2">
        <v>1.0</v>
      </c>
      <c r="E17" s="2">
        <v>4.0</v>
      </c>
      <c r="F17" s="2">
        <v>3.0</v>
      </c>
      <c r="G17" s="2">
        <v>3.0</v>
      </c>
      <c r="H17" s="2">
        <v>3.0</v>
      </c>
      <c r="I17" s="2">
        <v>3.0</v>
      </c>
      <c r="J17" s="2">
        <v>1.0</v>
      </c>
      <c r="K17" s="2">
        <v>2.0</v>
      </c>
    </row>
    <row r="18" ht="15.75" customHeight="1">
      <c r="B18" s="2">
        <v>3.0</v>
      </c>
      <c r="C18" s="2">
        <v>3.0</v>
      </c>
      <c r="D18" s="2">
        <v>1.0</v>
      </c>
      <c r="E18" s="2">
        <v>4.0</v>
      </c>
      <c r="F18" s="2">
        <v>3.0</v>
      </c>
      <c r="G18" s="2">
        <v>3.0</v>
      </c>
      <c r="H18" s="2">
        <v>3.0</v>
      </c>
      <c r="I18" s="2">
        <v>3.0</v>
      </c>
      <c r="J18" s="2">
        <v>1.0</v>
      </c>
      <c r="K18" s="2">
        <v>2.0</v>
      </c>
    </row>
    <row r="19" ht="15.75" customHeight="1">
      <c r="B19" s="2">
        <v>3.0</v>
      </c>
      <c r="C19" s="2">
        <v>3.0</v>
      </c>
      <c r="D19" s="2">
        <v>2.0</v>
      </c>
      <c r="E19" s="2">
        <v>4.0</v>
      </c>
      <c r="F19" s="2">
        <v>3.0</v>
      </c>
      <c r="G19" s="2">
        <v>3.0</v>
      </c>
      <c r="H19" s="2">
        <v>3.0</v>
      </c>
      <c r="I19" s="2">
        <v>3.0</v>
      </c>
      <c r="J19" s="2">
        <v>1.0</v>
      </c>
      <c r="K19" s="2">
        <v>2.0</v>
      </c>
    </row>
    <row r="20" ht="15.75" customHeight="1">
      <c r="B20" s="2">
        <v>3.0</v>
      </c>
      <c r="C20" s="2">
        <v>3.0</v>
      </c>
      <c r="D20" s="2">
        <v>2.0</v>
      </c>
      <c r="E20" s="2">
        <v>4.0</v>
      </c>
      <c r="F20" s="2">
        <v>3.0</v>
      </c>
      <c r="G20" s="2">
        <v>3.0</v>
      </c>
      <c r="H20" s="2">
        <v>3.0</v>
      </c>
      <c r="I20" s="2">
        <v>3.0</v>
      </c>
      <c r="J20" s="2">
        <v>1.0</v>
      </c>
      <c r="K20" s="2">
        <v>3.0</v>
      </c>
    </row>
    <row r="21" ht="15.75" customHeight="1">
      <c r="B21" s="2">
        <v>3.0</v>
      </c>
      <c r="C21" s="2">
        <v>3.0</v>
      </c>
      <c r="D21" s="2">
        <v>2.0</v>
      </c>
      <c r="E21" s="2">
        <v>4.0</v>
      </c>
      <c r="F21" s="2">
        <v>3.0</v>
      </c>
      <c r="G21" s="2">
        <v>3.0</v>
      </c>
      <c r="H21" s="2">
        <v>3.0</v>
      </c>
      <c r="I21" s="2">
        <v>3.0</v>
      </c>
      <c r="J21" s="2">
        <v>1.0</v>
      </c>
      <c r="K21" s="2">
        <v>3.0</v>
      </c>
    </row>
    <row r="22" ht="15.75" customHeight="1">
      <c r="B22" s="2">
        <v>3.0</v>
      </c>
      <c r="C22" s="2">
        <v>3.0</v>
      </c>
      <c r="D22" s="2">
        <v>2.0</v>
      </c>
      <c r="E22" s="2">
        <v>4.0</v>
      </c>
      <c r="F22" s="2">
        <v>3.0</v>
      </c>
      <c r="G22" s="2">
        <v>3.0</v>
      </c>
      <c r="H22" s="2">
        <v>3.0</v>
      </c>
      <c r="I22" s="2">
        <v>3.0</v>
      </c>
      <c r="J22" s="2">
        <v>1.0</v>
      </c>
      <c r="K22" s="2">
        <v>3.0</v>
      </c>
    </row>
    <row r="23" ht="15.75" customHeight="1">
      <c r="B23" s="2">
        <v>3.0</v>
      </c>
      <c r="C23" s="2">
        <v>3.0</v>
      </c>
      <c r="D23" s="2">
        <v>2.0</v>
      </c>
      <c r="E23" s="2">
        <v>4.0</v>
      </c>
      <c r="F23" s="2">
        <v>3.0</v>
      </c>
      <c r="G23" s="2">
        <v>3.0</v>
      </c>
      <c r="H23" s="2">
        <v>3.0</v>
      </c>
      <c r="I23" s="2">
        <v>3.0</v>
      </c>
      <c r="J23" s="2">
        <v>1.0</v>
      </c>
      <c r="K23" s="2">
        <v>3.0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38"/>
    <col customWidth="1" min="3" max="6" width="12.63"/>
  </cols>
  <sheetData>
    <row r="1" ht="15.75" customHeight="1"/>
    <row r="2" ht="15.75" customHeight="1">
      <c r="B2" s="3" t="s">
        <v>50</v>
      </c>
    </row>
    <row r="3" ht="15.75" customHeight="1">
      <c r="B3" s="4" t="s">
        <v>51</v>
      </c>
      <c r="C3" s="4" t="s">
        <v>52</v>
      </c>
      <c r="D3" s="4" t="s">
        <v>53</v>
      </c>
      <c r="E3" s="4" t="s">
        <v>54</v>
      </c>
    </row>
    <row r="4" ht="15.75" customHeight="1">
      <c r="B4" s="2" t="s">
        <v>55</v>
      </c>
      <c r="C4" s="5">
        <v>1.0</v>
      </c>
      <c r="D4" s="5">
        <f>COUNTIF(Respuetas!B4:B23,1)</f>
        <v>1</v>
      </c>
      <c r="E4" s="6">
        <f t="shared" ref="E4:E7" si="1">D4/$D$8</f>
        <v>0.05</v>
      </c>
    </row>
    <row r="5" ht="15.75" customHeight="1">
      <c r="B5" s="2" t="s">
        <v>56</v>
      </c>
      <c r="C5" s="5">
        <v>2.0</v>
      </c>
      <c r="D5" s="5">
        <f>COUNTIF(Respuetas!B4:B23,2)</f>
        <v>9</v>
      </c>
      <c r="E5" s="6">
        <f t="shared" si="1"/>
        <v>0.45</v>
      </c>
    </row>
    <row r="6" ht="15.75" customHeight="1">
      <c r="B6" s="2" t="s">
        <v>57</v>
      </c>
      <c r="C6" s="7">
        <v>3.0</v>
      </c>
      <c r="D6" s="5">
        <f>COUNTIF(Respuetas!B4:B23,3)</f>
        <v>10</v>
      </c>
      <c r="E6" s="6">
        <f t="shared" si="1"/>
        <v>0.5</v>
      </c>
    </row>
    <row r="7" ht="15.75" customHeight="1">
      <c r="B7" s="2" t="s">
        <v>58</v>
      </c>
      <c r="C7" s="8">
        <v>4.0</v>
      </c>
      <c r="D7" s="5">
        <f>COUNTIF(Respuetas!B7:B26,4)</f>
        <v>0</v>
      </c>
      <c r="E7" s="6">
        <f t="shared" si="1"/>
        <v>0</v>
      </c>
    </row>
    <row r="8" ht="15.75" customHeight="1">
      <c r="B8" s="9" t="s">
        <v>59</v>
      </c>
      <c r="C8" s="10"/>
      <c r="D8" s="2">
        <f t="shared" ref="D8:E8" si="2">SUM(D4:D7)</f>
        <v>20</v>
      </c>
      <c r="E8" s="11">
        <f t="shared" si="2"/>
        <v>1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8:C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38"/>
    <col customWidth="1" min="3" max="3" width="12.63"/>
    <col customWidth="1" min="4" max="4" width="15.25"/>
    <col customWidth="1" min="5" max="6" width="12.63"/>
  </cols>
  <sheetData>
    <row r="1" ht="15.75" customHeight="1"/>
    <row r="2" ht="15.75" customHeight="1">
      <c r="B2" s="12" t="s">
        <v>6</v>
      </c>
      <c r="C2" s="12"/>
      <c r="D2" s="12"/>
      <c r="E2" s="12"/>
    </row>
    <row r="3" ht="15.75" customHeight="1">
      <c r="B3" s="12"/>
      <c r="C3" s="12"/>
      <c r="D3" s="12"/>
      <c r="E3" s="12"/>
    </row>
    <row r="4" ht="15.75" customHeight="1">
      <c r="B4" s="2" t="s">
        <v>51</v>
      </c>
      <c r="C4" s="2" t="s">
        <v>52</v>
      </c>
      <c r="D4" s="2" t="s">
        <v>53</v>
      </c>
      <c r="E4" s="2" t="s">
        <v>54</v>
      </c>
    </row>
    <row r="5" ht="15.75" customHeight="1">
      <c r="B5" s="2" t="s">
        <v>60</v>
      </c>
      <c r="C5" s="2">
        <v>1.0</v>
      </c>
      <c r="D5" s="2">
        <f>COUNTIF(Respuetas!C4:C23,1)</f>
        <v>3</v>
      </c>
      <c r="E5" s="13">
        <f t="shared" ref="E5:E8" si="1">D5/$D$8</f>
        <v>0.15</v>
      </c>
    </row>
    <row r="6" ht="15.75" customHeight="1">
      <c r="B6" s="2" t="s">
        <v>61</v>
      </c>
      <c r="C6" s="2">
        <v>2.0</v>
      </c>
      <c r="D6" s="2">
        <f>COUNTIF(Respuetas!C5:C24,2)</f>
        <v>7</v>
      </c>
      <c r="E6" s="13">
        <f t="shared" si="1"/>
        <v>0.35</v>
      </c>
    </row>
    <row r="7" ht="15.75" customHeight="1">
      <c r="B7" s="2" t="s">
        <v>62</v>
      </c>
      <c r="C7" s="2">
        <v>3.0</v>
      </c>
      <c r="D7" s="2">
        <f>COUNTIF(Respuetas!C4:C23,3)</f>
        <v>10</v>
      </c>
      <c r="E7" s="13">
        <f t="shared" si="1"/>
        <v>0.5</v>
      </c>
    </row>
    <row r="8" ht="15.75" customHeight="1">
      <c r="B8" s="9" t="s">
        <v>59</v>
      </c>
      <c r="C8" s="10"/>
      <c r="D8" s="2">
        <f>SUM(D4:D7)</f>
        <v>20</v>
      </c>
      <c r="E8" s="13">
        <f t="shared" si="1"/>
        <v>1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8:C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38"/>
    <col customWidth="1" min="3" max="3" width="14.5"/>
    <col customWidth="1" min="4" max="4" width="12.63"/>
    <col customWidth="1" min="5" max="5" width="17.5"/>
    <col customWidth="1" min="6" max="6" width="12.63"/>
  </cols>
  <sheetData>
    <row r="1" ht="15.75" customHeight="1"/>
    <row r="2" ht="15.75" customHeight="1">
      <c r="B2" s="12" t="s">
        <v>10</v>
      </c>
      <c r="C2" s="12"/>
      <c r="D2" s="12"/>
      <c r="E2" s="12"/>
      <c r="F2" s="12"/>
      <c r="G2" s="12"/>
    </row>
    <row r="3" ht="15.75" customHeight="1"/>
    <row r="4" ht="15.75" customHeight="1">
      <c r="B4" s="2" t="s">
        <v>51</v>
      </c>
      <c r="C4" s="2" t="s">
        <v>52</v>
      </c>
      <c r="D4" s="2" t="s">
        <v>53</v>
      </c>
      <c r="E4" s="2" t="s">
        <v>54</v>
      </c>
    </row>
    <row r="5" ht="15.75" customHeight="1">
      <c r="B5" s="2" t="s">
        <v>63</v>
      </c>
      <c r="C5" s="2">
        <v>1.0</v>
      </c>
      <c r="D5" s="2">
        <f>COUNTIF(Respuetas!D4:D23,1)</f>
        <v>15</v>
      </c>
      <c r="E5" s="13">
        <f t="shared" ref="E5:E7" si="1">D5/$D$6</f>
        <v>3</v>
      </c>
    </row>
    <row r="6" ht="15.75" customHeight="1">
      <c r="B6" s="2" t="s">
        <v>64</v>
      </c>
      <c r="C6" s="2">
        <v>2.0</v>
      </c>
      <c r="D6" s="2">
        <f>COUNTIF(Respuetas!D4:D23,2)</f>
        <v>5</v>
      </c>
      <c r="E6" s="13">
        <f t="shared" si="1"/>
        <v>1</v>
      </c>
    </row>
    <row r="7" ht="15.75" customHeight="1">
      <c r="B7" s="9" t="s">
        <v>59</v>
      </c>
      <c r="C7" s="10"/>
      <c r="D7" s="2">
        <f>SUM(D5:D6)</f>
        <v>20</v>
      </c>
      <c r="E7" s="13">
        <f t="shared" si="1"/>
        <v>4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7:C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3.25"/>
    <col customWidth="1" min="3" max="3" width="13.63"/>
    <col customWidth="1" min="4" max="4" width="15.13"/>
    <col customWidth="1" min="5" max="5" width="13.0"/>
    <col customWidth="1" min="6" max="6" width="12.63"/>
  </cols>
  <sheetData>
    <row r="1" ht="15.75" customHeight="1"/>
    <row r="2" ht="15.75" customHeight="1">
      <c r="B2" s="12" t="s">
        <v>13</v>
      </c>
      <c r="C2" s="12"/>
      <c r="D2" s="12"/>
      <c r="E2" s="12"/>
      <c r="F2" s="12"/>
      <c r="G2" s="12"/>
      <c r="H2" s="12"/>
    </row>
    <row r="3" ht="15.75" customHeight="1">
      <c r="B3" s="12"/>
      <c r="C3" s="12"/>
      <c r="D3" s="12"/>
      <c r="E3" s="12"/>
      <c r="F3" s="12"/>
      <c r="G3" s="12"/>
      <c r="H3" s="12"/>
    </row>
    <row r="4" ht="15.75" customHeight="1">
      <c r="B4" s="4" t="s">
        <v>51</v>
      </c>
      <c r="C4" s="4" t="s">
        <v>52</v>
      </c>
      <c r="D4" s="4" t="s">
        <v>53</v>
      </c>
      <c r="E4" s="4" t="s">
        <v>54</v>
      </c>
    </row>
    <row r="5" ht="15.75" customHeight="1">
      <c r="B5" s="2" t="s">
        <v>65</v>
      </c>
      <c r="C5" s="5">
        <v>1.0</v>
      </c>
      <c r="D5" s="5">
        <f>COUNTIF(Respuetas!E4:E23,1)</f>
        <v>4</v>
      </c>
      <c r="E5" s="6">
        <f t="shared" ref="E5:E8" si="1">D5/$D$9</f>
        <v>0.2</v>
      </c>
    </row>
    <row r="6" ht="15.75" customHeight="1">
      <c r="B6" s="2" t="s">
        <v>66</v>
      </c>
      <c r="C6" s="5">
        <v>2.0</v>
      </c>
      <c r="D6" s="5">
        <f>COUNTIF(Respuetas!E4:E23,2)</f>
        <v>8</v>
      </c>
      <c r="E6" s="6">
        <f t="shared" si="1"/>
        <v>0.4</v>
      </c>
    </row>
    <row r="7" ht="15.75" customHeight="1">
      <c r="B7" s="2" t="s">
        <v>67</v>
      </c>
      <c r="C7" s="7">
        <v>3.0</v>
      </c>
      <c r="D7" s="5">
        <f>COUNTIF(Respuetas!E4:E23,3)</f>
        <v>0</v>
      </c>
      <c r="E7" s="6">
        <f t="shared" si="1"/>
        <v>0</v>
      </c>
    </row>
    <row r="8" ht="15.75" customHeight="1">
      <c r="B8" s="2" t="s">
        <v>68</v>
      </c>
      <c r="C8" s="8">
        <v>4.0</v>
      </c>
      <c r="D8" s="5">
        <f>COUNTIF(Respuetas!E4:E23,4)</f>
        <v>8</v>
      </c>
      <c r="E8" s="6">
        <f t="shared" si="1"/>
        <v>0.4</v>
      </c>
    </row>
    <row r="9" ht="15.75" customHeight="1">
      <c r="B9" s="9" t="s">
        <v>59</v>
      </c>
      <c r="C9" s="10"/>
      <c r="D9" s="2">
        <f t="shared" ref="D9:E9" si="2">SUM(D5:D8)</f>
        <v>20</v>
      </c>
      <c r="E9" s="11">
        <f t="shared" si="2"/>
        <v>1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9:C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32.75"/>
    <col customWidth="1" min="3" max="6" width="12.63"/>
    <col customWidth="1" min="7" max="7" width="25.75"/>
  </cols>
  <sheetData>
    <row r="1" ht="15.75" customHeight="1"/>
    <row r="2" ht="15.75" customHeight="1">
      <c r="B2" s="3" t="s">
        <v>69</v>
      </c>
    </row>
    <row r="3" ht="15.75" customHeight="1">
      <c r="B3" s="3"/>
      <c r="C3" s="3"/>
      <c r="D3" s="3"/>
      <c r="E3" s="3"/>
      <c r="F3" s="3"/>
      <c r="G3" s="3"/>
    </row>
    <row r="4" ht="15.75" customHeight="1">
      <c r="B4" s="14" t="s">
        <v>51</v>
      </c>
      <c r="C4" s="4" t="s">
        <v>52</v>
      </c>
      <c r="D4" s="4" t="s">
        <v>53</v>
      </c>
      <c r="E4" s="4" t="s">
        <v>54</v>
      </c>
    </row>
    <row r="5" ht="15.75" customHeight="1">
      <c r="B5" s="15" t="s">
        <v>70</v>
      </c>
      <c r="C5" s="5">
        <v>1.0</v>
      </c>
      <c r="D5" s="5">
        <f>COUNTIF(Respuetas!F3:F22,1)</f>
        <v>2</v>
      </c>
      <c r="E5" s="6">
        <f t="shared" ref="E5:E9" si="1">D5/$D$9</f>
        <v>0.1</v>
      </c>
    </row>
    <row r="6" ht="15.75" customHeight="1">
      <c r="B6" s="16" t="s">
        <v>71</v>
      </c>
      <c r="C6" s="5">
        <v>2.0</v>
      </c>
      <c r="D6" s="5">
        <f>COUNTIF(Respuetas!F4:F23,2)</f>
        <v>5</v>
      </c>
      <c r="E6" s="6">
        <f t="shared" si="1"/>
        <v>0.25</v>
      </c>
    </row>
    <row r="7" ht="15.75" customHeight="1">
      <c r="B7" s="16" t="s">
        <v>72</v>
      </c>
      <c r="C7" s="7">
        <v>3.0</v>
      </c>
      <c r="D7" s="5">
        <f>COUNTIF(Respuetas!F5:F24,3)</f>
        <v>13</v>
      </c>
      <c r="E7" s="6">
        <f t="shared" si="1"/>
        <v>0.65</v>
      </c>
    </row>
    <row r="8" ht="15.75" customHeight="1">
      <c r="B8" s="16" t="s">
        <v>73</v>
      </c>
      <c r="C8" s="8">
        <v>4.0</v>
      </c>
      <c r="D8" s="5">
        <f>COUNTIF(Respuetas!F6:F25,4)</f>
        <v>0</v>
      </c>
      <c r="E8" s="6">
        <f t="shared" si="1"/>
        <v>0</v>
      </c>
    </row>
    <row r="9" ht="15.75" customHeight="1">
      <c r="B9" s="9" t="s">
        <v>59</v>
      </c>
      <c r="C9" s="10"/>
      <c r="D9" s="2">
        <f>SUM(D5:D8)</f>
        <v>20</v>
      </c>
      <c r="E9" s="6">
        <f t="shared" si="1"/>
        <v>1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G2"/>
    <mergeCell ref="B9:C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13"/>
    <col customWidth="1" min="3" max="3" width="16.25"/>
    <col customWidth="1" min="4" max="4" width="15.13"/>
    <col customWidth="1" min="5" max="5" width="16.75"/>
    <col customWidth="1" min="6" max="6" width="12.63"/>
  </cols>
  <sheetData>
    <row r="1" ht="15.75" customHeight="1"/>
    <row r="2" ht="15.75" customHeight="1">
      <c r="B2" s="12" t="s">
        <v>74</v>
      </c>
      <c r="C2" s="12"/>
      <c r="D2" s="12"/>
      <c r="E2" s="12"/>
      <c r="F2" s="12"/>
      <c r="G2" s="12"/>
      <c r="H2" s="12"/>
    </row>
    <row r="3" ht="15.75" customHeight="1"/>
    <row r="4" ht="15.75" customHeight="1">
      <c r="B4" s="17" t="s">
        <v>51</v>
      </c>
      <c r="C4" s="17" t="s">
        <v>52</v>
      </c>
      <c r="D4" s="17" t="s">
        <v>53</v>
      </c>
      <c r="E4" s="17" t="s">
        <v>54</v>
      </c>
    </row>
    <row r="5" ht="15.75" customHeight="1">
      <c r="B5" s="18" t="s">
        <v>75</v>
      </c>
      <c r="C5" s="19">
        <v>1.0</v>
      </c>
      <c r="D5" s="19">
        <f>COUNTIF(Respuetas!G4:G23,1)</f>
        <v>6</v>
      </c>
      <c r="E5" s="20">
        <f t="shared" ref="E5:E7" si="1">D5/$D$8</f>
        <v>0.3</v>
      </c>
    </row>
    <row r="6" ht="15.75" customHeight="1">
      <c r="B6" s="21" t="s">
        <v>64</v>
      </c>
      <c r="C6" s="19">
        <v>2.0</v>
      </c>
      <c r="D6" s="19">
        <f>COUNTIF(Respuetas!G4:G23,2)</f>
        <v>1</v>
      </c>
      <c r="E6" s="20">
        <f t="shared" si="1"/>
        <v>0.05</v>
      </c>
    </row>
    <row r="7" ht="15.75" customHeight="1">
      <c r="B7" s="21" t="s">
        <v>76</v>
      </c>
      <c r="C7" s="19">
        <v>3.0</v>
      </c>
      <c r="D7" s="19">
        <f>COUNTIF(Respuetas!G4:G23,3)</f>
        <v>13</v>
      </c>
      <c r="E7" s="20">
        <f t="shared" si="1"/>
        <v>0.65</v>
      </c>
    </row>
    <row r="8" ht="15.75" customHeight="1">
      <c r="B8" s="22" t="s">
        <v>59</v>
      </c>
      <c r="C8" s="10"/>
      <c r="D8" s="19">
        <f>SUM(D4:D7)</f>
        <v>20</v>
      </c>
      <c r="E8" s="20">
        <f>SUM(E5:E7)</f>
        <v>1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8:C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9.0"/>
    <col customWidth="1" min="3" max="3" width="9.0"/>
    <col customWidth="1" min="4" max="4" width="11.5"/>
    <col customWidth="1" min="5" max="5" width="10.88"/>
    <col customWidth="1" min="6" max="6" width="12.63"/>
  </cols>
  <sheetData>
    <row r="1" ht="15.75" customHeight="1"/>
    <row r="2" ht="15.75" customHeight="1">
      <c r="B2" s="23" t="s">
        <v>77</v>
      </c>
    </row>
    <row r="3" ht="15.75" customHeight="1">
      <c r="B3" s="23"/>
    </row>
    <row r="4" ht="15.75" customHeight="1">
      <c r="B4" s="4" t="s">
        <v>51</v>
      </c>
      <c r="C4" s="4" t="s">
        <v>52</v>
      </c>
      <c r="D4" s="4" t="s">
        <v>53</v>
      </c>
      <c r="E4" s="4" t="s">
        <v>54</v>
      </c>
    </row>
    <row r="5" ht="15.75" customHeight="1">
      <c r="B5" s="2" t="s">
        <v>78</v>
      </c>
      <c r="C5" s="5">
        <v>1.0</v>
      </c>
      <c r="D5" s="5">
        <f>COUNTIF(Respuetas!H3:H22,1)</f>
        <v>5</v>
      </c>
      <c r="E5" s="24">
        <f t="shared" ref="E5:E9" si="1">D5/$D$9</f>
        <v>0.25</v>
      </c>
    </row>
    <row r="6" ht="15.75" customHeight="1">
      <c r="B6" s="2" t="s">
        <v>79</v>
      </c>
      <c r="C6" s="5">
        <v>2.0</v>
      </c>
      <c r="D6" s="5">
        <f>COUNTIF(Respuetas!H4:H23,2)</f>
        <v>2</v>
      </c>
      <c r="E6" s="24">
        <f t="shared" si="1"/>
        <v>0.1</v>
      </c>
    </row>
    <row r="7" ht="15.75" customHeight="1">
      <c r="B7" s="2" t="s">
        <v>80</v>
      </c>
      <c r="C7" s="7">
        <v>3.0</v>
      </c>
      <c r="D7" s="5">
        <f>COUNTIF(Respuetas!H5:H24,3)</f>
        <v>13</v>
      </c>
      <c r="E7" s="24">
        <f t="shared" si="1"/>
        <v>0.65</v>
      </c>
    </row>
    <row r="8" ht="15.75" customHeight="1">
      <c r="B8" s="2" t="s">
        <v>81</v>
      </c>
      <c r="C8" s="8">
        <v>4.0</v>
      </c>
      <c r="D8" s="5">
        <f>COUNTIF(Respuetas!H6:H25,4)</f>
        <v>0</v>
      </c>
      <c r="E8" s="24">
        <f t="shared" si="1"/>
        <v>0</v>
      </c>
    </row>
    <row r="9" ht="15.75" customHeight="1">
      <c r="B9" s="9" t="s">
        <v>59</v>
      </c>
      <c r="C9" s="10"/>
      <c r="D9" s="5">
        <f>SUM(D5:D8)</f>
        <v>20</v>
      </c>
      <c r="E9" s="24">
        <f t="shared" si="1"/>
        <v>1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9:C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13"/>
    <col customWidth="1" min="3" max="6" width="12.63"/>
  </cols>
  <sheetData>
    <row r="1" ht="15.75" customHeight="1"/>
    <row r="2" ht="15.75" customHeight="1">
      <c r="B2" s="25" t="s">
        <v>82</v>
      </c>
    </row>
    <row r="3" ht="15.75" customHeight="1"/>
    <row r="4" ht="15.75" customHeight="1">
      <c r="B4" s="14" t="s">
        <v>51</v>
      </c>
      <c r="C4" s="4" t="s">
        <v>52</v>
      </c>
      <c r="D4" s="4" t="s">
        <v>53</v>
      </c>
      <c r="E4" s="4" t="s">
        <v>54</v>
      </c>
    </row>
    <row r="5" ht="15.75" customHeight="1">
      <c r="B5" s="15" t="s">
        <v>75</v>
      </c>
      <c r="C5" s="5">
        <v>1.0</v>
      </c>
      <c r="D5" s="5">
        <f>COUNTIF(Respuetas!I4:I23,1)</f>
        <v>7</v>
      </c>
      <c r="E5" s="6">
        <f t="shared" ref="E5:E9" si="1">D5/$D$9</f>
        <v>0.35</v>
      </c>
    </row>
    <row r="6" ht="15.75" customHeight="1">
      <c r="B6" s="16" t="s">
        <v>64</v>
      </c>
      <c r="C6" s="5">
        <v>2.0</v>
      </c>
      <c r="D6" s="5">
        <f>COUNTIF(Respuetas!I5:I24,2)</f>
        <v>0</v>
      </c>
      <c r="E6" s="6">
        <f t="shared" si="1"/>
        <v>0</v>
      </c>
    </row>
    <row r="7" ht="15.75" customHeight="1">
      <c r="B7" s="16" t="s">
        <v>83</v>
      </c>
      <c r="C7" s="7">
        <v>3.0</v>
      </c>
      <c r="D7" s="5">
        <f>COUNTIF(Respuetas!I6:I25,3)</f>
        <v>13</v>
      </c>
      <c r="E7" s="6">
        <f t="shared" si="1"/>
        <v>0.65</v>
      </c>
    </row>
    <row r="8" ht="15.75" customHeight="1">
      <c r="B8" s="16" t="s">
        <v>81</v>
      </c>
      <c r="C8" s="8">
        <v>4.0</v>
      </c>
      <c r="D8" s="5">
        <f>COUNTIF(Respuetas!I7:I26,4)</f>
        <v>0</v>
      </c>
      <c r="E8" s="6">
        <f t="shared" si="1"/>
        <v>0</v>
      </c>
    </row>
    <row r="9" ht="15.75" customHeight="1">
      <c r="B9" s="9" t="s">
        <v>59</v>
      </c>
      <c r="C9" s="10"/>
      <c r="D9" s="2">
        <f>SUM(D5:D8)</f>
        <v>20</v>
      </c>
      <c r="E9" s="6">
        <f t="shared" si="1"/>
        <v>1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9:C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0"/>
    <col customWidth="1" min="3" max="3" width="15.63"/>
    <col customWidth="1" min="4" max="4" width="15.13"/>
    <col customWidth="1" min="5" max="5" width="16.75"/>
    <col customWidth="1" min="6" max="6" width="12.63"/>
  </cols>
  <sheetData>
    <row r="1" ht="15.75" customHeight="1"/>
    <row r="2" ht="15.75" customHeight="1">
      <c r="B2" s="12" t="s">
        <v>84</v>
      </c>
      <c r="C2" s="12"/>
      <c r="D2" s="12"/>
      <c r="E2" s="12"/>
      <c r="F2" s="12"/>
      <c r="G2" s="12"/>
    </row>
    <row r="3" ht="15.75" customHeight="1">
      <c r="B3" s="2" t="s">
        <v>51</v>
      </c>
      <c r="C3" s="2" t="s">
        <v>52</v>
      </c>
      <c r="D3" s="2" t="s">
        <v>53</v>
      </c>
      <c r="E3" s="2" t="s">
        <v>54</v>
      </c>
    </row>
    <row r="4" ht="15.75" customHeight="1">
      <c r="B4" s="2" t="s">
        <v>75</v>
      </c>
      <c r="C4" s="2">
        <v>1.0</v>
      </c>
      <c r="D4" s="2">
        <f>COUNTIF(Respuetas!J4:J23,1)</f>
        <v>20</v>
      </c>
      <c r="E4" s="13">
        <f t="shared" ref="E4:E7" si="1">D4/$D$7</f>
        <v>1</v>
      </c>
    </row>
    <row r="5" ht="15.75" customHeight="1">
      <c r="B5" s="2" t="s">
        <v>64</v>
      </c>
      <c r="C5" s="2">
        <v>2.0</v>
      </c>
      <c r="D5" s="2">
        <f>COUNTIF(Respuetas!J5:J24,2)</f>
        <v>0</v>
      </c>
      <c r="E5" s="13">
        <f t="shared" si="1"/>
        <v>0</v>
      </c>
    </row>
    <row r="6" ht="15.75" customHeight="1">
      <c r="B6" s="2" t="s">
        <v>81</v>
      </c>
      <c r="C6" s="2">
        <v>3.0</v>
      </c>
      <c r="D6" s="2">
        <f>COUNTIF(Respuetas!J6:J25,3)</f>
        <v>0</v>
      </c>
      <c r="E6" s="13">
        <f t="shared" si="1"/>
        <v>0</v>
      </c>
    </row>
    <row r="7" ht="15.75" customHeight="1">
      <c r="B7" s="9" t="s">
        <v>59</v>
      </c>
      <c r="C7" s="10"/>
      <c r="D7" s="2">
        <f>SUM(D4:D6)</f>
        <v>20</v>
      </c>
      <c r="E7" s="13">
        <f t="shared" si="1"/>
        <v>1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7:C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75"/>
    <col customWidth="1" min="3" max="3" width="18.0"/>
    <col customWidth="1" min="4" max="5" width="16.75"/>
    <col customWidth="1" min="6" max="6" width="12.63"/>
  </cols>
  <sheetData>
    <row r="1" ht="15.75" customHeight="1"/>
    <row r="2" ht="15.75" customHeight="1">
      <c r="B2" s="12"/>
      <c r="C2" s="12"/>
      <c r="D2" s="12"/>
      <c r="E2" s="12"/>
      <c r="F2" s="12"/>
      <c r="G2" s="12"/>
    </row>
    <row r="3" ht="15.75" customHeight="1">
      <c r="B3" s="12"/>
      <c r="C3" s="12"/>
      <c r="D3" s="12"/>
      <c r="E3" s="12"/>
      <c r="F3" s="12"/>
      <c r="G3" s="12"/>
    </row>
    <row r="4" ht="15.75" customHeight="1">
      <c r="B4" s="12"/>
      <c r="C4" s="12"/>
      <c r="D4" s="12"/>
      <c r="E4" s="12"/>
      <c r="F4" s="12"/>
      <c r="G4" s="12"/>
    </row>
    <row r="5" ht="15.75" customHeight="1">
      <c r="B5" s="12" t="s">
        <v>35</v>
      </c>
      <c r="C5" s="12"/>
      <c r="D5" s="12"/>
      <c r="E5" s="12"/>
      <c r="F5" s="12"/>
      <c r="G5" s="12"/>
    </row>
    <row r="6" ht="15.75" customHeight="1">
      <c r="B6" s="23"/>
      <c r="C6" s="23"/>
      <c r="D6" s="23"/>
      <c r="E6" s="23"/>
    </row>
    <row r="7" ht="15.75" customHeight="1">
      <c r="B7" s="2" t="s">
        <v>51</v>
      </c>
      <c r="C7" s="2" t="s">
        <v>52</v>
      </c>
      <c r="D7" s="2" t="s">
        <v>53</v>
      </c>
      <c r="E7" s="2" t="s">
        <v>54</v>
      </c>
    </row>
    <row r="8" ht="15.75" customHeight="1">
      <c r="B8" s="2" t="s">
        <v>85</v>
      </c>
      <c r="C8" s="2">
        <v>1.0</v>
      </c>
      <c r="D8" s="2">
        <f>COUNTIF(Respuetas!K4:K23,1)</f>
        <v>7</v>
      </c>
      <c r="E8" s="13">
        <f t="shared" ref="E8:E10" si="1">D8/$D$12</f>
        <v>0.35</v>
      </c>
    </row>
    <row r="9" ht="15.75" customHeight="1">
      <c r="B9" s="2" t="s">
        <v>86</v>
      </c>
      <c r="C9" s="2">
        <v>2.0</v>
      </c>
      <c r="D9" s="2">
        <f>COUNTIF(Respuetas!K5:K24,2)</f>
        <v>9</v>
      </c>
      <c r="E9" s="13">
        <f t="shared" si="1"/>
        <v>0.45</v>
      </c>
    </row>
    <row r="10" ht="15.75" customHeight="1">
      <c r="B10" s="2" t="s">
        <v>87</v>
      </c>
      <c r="C10" s="2">
        <v>3.0</v>
      </c>
      <c r="D10" s="2">
        <f>COUNTIF(Respuetas!K6:K25,3)</f>
        <v>4</v>
      </c>
      <c r="E10" s="13">
        <f t="shared" si="1"/>
        <v>0.2</v>
      </c>
    </row>
    <row r="11" ht="15.75" customHeight="1">
      <c r="B11" s="2" t="s">
        <v>88</v>
      </c>
      <c r="C11" s="2">
        <v>4.0</v>
      </c>
      <c r="D11" s="2">
        <f>COUNTIF(Respuetas!K7:K26,4)</f>
        <v>0</v>
      </c>
      <c r="E11" s="13"/>
    </row>
    <row r="12" ht="15.75" customHeight="1">
      <c r="B12" s="9" t="s">
        <v>59</v>
      </c>
      <c r="C12" s="10"/>
      <c r="D12" s="2">
        <f>SUM(D8:D10)</f>
        <v>20</v>
      </c>
      <c r="E12" s="13">
        <f>D12/$D$12</f>
        <v>1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2:C12"/>
  </mergeCells>
  <drawing r:id="rId1"/>
</worksheet>
</file>